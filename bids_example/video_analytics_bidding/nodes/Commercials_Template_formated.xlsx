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<sst xmlns="http://schemas.openxmlformats.org/spreadsheetml/2006/main" count="44" uniqueCount="43">
  <si>
    <t xml:space="preserve">AI Based Video Analytics Licenses</t>
  </si>
  <si>
    <t xml:space="preserve">SNO</t>
  </si>
  <si>
    <t xml:space="preserve">Usecase</t>
  </si>
  <si>
    <t xml:space="preserve"># Licenses</t>
  </si>
  <si>
    <t xml:space="preserve">Total Licenses</t>
  </si>
  <si>
    <t xml:space="preserve">Unit price </t>
  </si>
  <si>
    <t xml:space="preserve">Total Price</t>
  </si>
  <si>
    <t xml:space="preserve">Support</t>
  </si>
  <si>
    <t xml:space="preserve">A</t>
  </si>
  <si>
    <t xml:space="preserve">Facial Detection System</t>
  </si>
  <si>
    <t xml:space="preserve">1 years</t>
  </si>
  <si>
    <t xml:space="preserve">B</t>
  </si>
  <si>
    <t xml:space="preserve">Video Analytics</t>
  </si>
  <si>
    <t xml:space="preserve">Abandoned Object Detection</t>
  </si>
  <si>
    <t xml:space="preserve">Person collapsing</t>
  </si>
  <si>
    <t xml:space="preserve">Jay Walking</t>
  </si>
  <si>
    <t xml:space="preserve">AI baded Advanced Intrusion Detection</t>
  </si>
  <si>
    <t xml:space="preserve">AI based Camera health monitoring</t>
  </si>
  <si>
    <t xml:space="preserve">Vandalism</t>
  </si>
  <si>
    <t xml:space="preserve">Encroachment Detection</t>
  </si>
  <si>
    <t xml:space="preserve">Stray Animal Detection</t>
  </si>
  <si>
    <t xml:space="preserve">People Fighting / Violence</t>
  </si>
  <si>
    <t xml:space="preserve">Perimeter Protection</t>
  </si>
  <si>
    <t xml:space="preserve">Women Safety - Lone Woman Detection</t>
  </si>
  <si>
    <t xml:space="preserve">C</t>
  </si>
  <si>
    <t xml:space="preserve">Crowd Estimation and management</t>
  </si>
  <si>
    <t xml:space="preserve">Crowd Density</t>
  </si>
  <si>
    <t xml:space="preserve">Crowd Erratic movement</t>
  </si>
  <si>
    <t xml:space="preserve">Crowd Stampede Detection</t>
  </si>
  <si>
    <t xml:space="preserve">Crowd Flow</t>
  </si>
  <si>
    <t xml:space="preserve">People Counting</t>
  </si>
  <si>
    <t xml:space="preserve">Total License costs</t>
  </si>
  <si>
    <t xml:space="preserve">One time Implementation costs</t>
  </si>
  <si>
    <t xml:space="preserve"> AMC cost</t>
  </si>
  <si>
    <t xml:space="preserve">Total Solution costs</t>
  </si>
  <si>
    <t xml:space="preserve">Terms &amp; Conditions</t>
  </si>
  <si>
    <t xml:space="preserve">Price is exclusive of any statutory Taxes applicable</t>
  </si>
  <si>
    <t xml:space="preserve">Prices are applicable and valid at above mentioned total volume of licenses.</t>
  </si>
  <si>
    <t xml:space="preserve">Support &amp; Maintanence to be purchased separately under AMC. AMC applicable if support is required from Go-live of licenses. (For both pro-rata or complete go-live)</t>
  </si>
  <si>
    <t xml:space="preserve">Customization Cost is not included in this commercials. Based on the Scope finalization, the additional usecases cost &amp; customization cost can be included in the commercials if required. </t>
  </si>
  <si>
    <t xml:space="preserve">Pricing for SMS/Email gateway is not included in this commercials. </t>
  </si>
  <si>
    <t xml:space="preserve">Payment terms : </t>
  </si>
  <si>
    <t xml:space="preserve">50% of Total License cost as advance along with PO
100% of One time implementation cost as advance along with of PO
40% of Total License cost payment post delivery of all licenses (This milestone does not include setup or implementation. Supply of licenses only)
10% of Total License cost payment on go-live (This milestone includes setup, implementation, go-live stages)
100% AMC per year cost payment at beginning of every AMC year. Upon Go-live, project requires AMC to be active to continue support.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</si>
</sst>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₹#,##0.00"/>
    <numFmt numFmtId="167" formatCode="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 (Body)"/>
      <family val="0"/>
      <charset val="1"/>
    </font>
    <font>
      <b val="true"/>
      <sz val="1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7F7F7F"/>
        <bgColor rgb="FF969696"/>
      </patternFill>
    </fill>
    <fill>
      <patternFill patternType="solid">
        <fgColor rgb="FFE7E6E6"/>
        <bgColor rgb="FFDEEBF7"/>
      </patternFill>
    </fill>
    <fill>
      <patternFill patternType="solid">
        <fgColor rgb="FFFFFFFF"/>
        <bgColor rgb="FFDEEBF7"/>
      </patternFill>
    </fill>
    <fill>
      <patternFill patternType="solid">
        <fgColor rgb="FFDEEBF7"/>
        <bgColor rgb="FFD9E1F2"/>
      </patternFill>
    </fill>
    <fill>
      <patternFill patternType="solid">
        <fgColor rgb="FFD9E1F2"/>
        <bgColor rgb="FFDEEBF7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E7E6E6"/>
      <rgbColor rgb="FFDE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K48"/>
  <sheetViews>
    <sheetView showFormulas="false" showGridLines="true" showRowColHeaders="true" showZeros="true" rightToLeft="false" tabSelected="true" showOutlineSymbols="true" defaultGridColor="true" view="normal" topLeftCell="A10" colorId="64" zoomScale="65" zoomScaleNormal="65" zoomScalePageLayoutView="100" workbookViewId="0">
      <selection pane="topLeft" activeCell="H34" activeCellId="0" sqref="H34"/>
    </sheetView>
  </sheetViews>
  <sheetFormatPr defaultColWidth="11.58984375" defaultRowHeight="12.8" zeroHeight="false" outlineLevelRow="0" outlineLevelCol="0"/>
  <cols>
    <col collapsed="false" customWidth="true" hidden="false" outlineLevel="0" max="3" min="3" style="0" width="53.35"/>
    <col collapsed="false" customWidth="true" hidden="false" outlineLevel="0" max="4" min="4" style="0" width="28.62"/>
    <col collapsed="false" customWidth="true" hidden="false" outlineLevel="0" max="5" min="5" style="0" width="41.26"/>
  </cols>
  <sheetData>
    <row r="2" customFormat="false" ht="12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2.8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2.8" hidden="false" customHeight="false" outlineLevel="0" collapsed="false">
      <c r="B5" s="2" t="s">
        <v>1</v>
      </c>
      <c r="C5" s="3" t="s">
        <v>2</v>
      </c>
      <c r="D5" s="4" t="s">
        <v>3</v>
      </c>
      <c r="E5" s="5" t="s">
        <v>4</v>
      </c>
      <c r="F5" s="3" t="s">
        <v>5</v>
      </c>
      <c r="G5" s="3"/>
      <c r="H5" s="3" t="s">
        <v>6</v>
      </c>
      <c r="I5" s="3"/>
      <c r="J5" s="3" t="s">
        <v>7</v>
      </c>
      <c r="K5" s="3"/>
    </row>
    <row r="6" customFormat="false" ht="12.8" hidden="false" customHeight="false" outlineLevel="0" collapsed="false">
      <c r="B6" s="2"/>
      <c r="C6" s="2"/>
      <c r="D6" s="4"/>
      <c r="E6" s="5"/>
      <c r="F6" s="3"/>
      <c r="G6" s="3"/>
      <c r="H6" s="3"/>
      <c r="I6" s="3"/>
      <c r="J6" s="3"/>
      <c r="K6" s="3"/>
    </row>
    <row r="7" customFormat="false" ht="12.8" hidden="false" customHeight="false" outlineLevel="0" collapsed="false">
      <c r="B7" s="2"/>
      <c r="C7" s="3"/>
      <c r="D7" s="4"/>
      <c r="E7" s="5"/>
      <c r="F7" s="3"/>
      <c r="G7" s="3"/>
      <c r="H7" s="3"/>
      <c r="I7" s="3"/>
      <c r="J7" s="3"/>
      <c r="K7" s="3"/>
    </row>
    <row r="8" customFormat="false" ht="19.7" hidden="false" customHeight="true" outlineLevel="0" collapsed="false">
      <c r="B8" s="6" t="s">
        <v>8</v>
      </c>
      <c r="C8" s="7" t="s">
        <v>9</v>
      </c>
      <c r="D8" s="8" t="n">
        <v>30</v>
      </c>
      <c r="E8" s="9" t="n">
        <f aca="false">SUM(D9:D26)</f>
        <v>800</v>
      </c>
      <c r="F8" s="10" t="n">
        <v>100</v>
      </c>
      <c r="G8" s="10"/>
      <c r="H8" s="10" t="n">
        <f aca="false">(F8*D8)</f>
        <v>3000</v>
      </c>
      <c r="I8" s="10"/>
      <c r="J8" s="11" t="s">
        <v>10</v>
      </c>
      <c r="K8" s="11"/>
    </row>
    <row r="9" customFormat="false" ht="19.7" hidden="false" customHeight="false" outlineLevel="0" collapsed="false">
      <c r="B9" s="8" t="s">
        <v>11</v>
      </c>
      <c r="C9" s="7" t="s">
        <v>12</v>
      </c>
      <c r="D9" s="8"/>
      <c r="E9" s="9"/>
      <c r="F9" s="10"/>
      <c r="G9" s="10"/>
      <c r="H9" s="10"/>
      <c r="I9" s="10"/>
      <c r="J9" s="11"/>
      <c r="K9" s="11"/>
    </row>
    <row r="10" customFormat="false" ht="19.7" hidden="false" customHeight="false" outlineLevel="0" collapsed="false">
      <c r="B10" s="12" t="n">
        <v>1</v>
      </c>
      <c r="C10" s="13" t="s">
        <v>13</v>
      </c>
      <c r="D10" s="14" t="n">
        <v>50</v>
      </c>
      <c r="E10" s="9"/>
      <c r="F10" s="10" t="n">
        <v>102</v>
      </c>
      <c r="G10" s="10"/>
      <c r="H10" s="10" t="n">
        <f aca="false">(F10*D10)</f>
        <v>5100</v>
      </c>
      <c r="I10" s="10"/>
      <c r="J10" s="11"/>
      <c r="K10" s="11"/>
    </row>
    <row r="11" customFormat="false" ht="19.7" hidden="false" customHeight="false" outlineLevel="0" collapsed="false">
      <c r="B11" s="15" t="n">
        <v>2</v>
      </c>
      <c r="C11" s="13" t="s">
        <v>14</v>
      </c>
      <c r="D11" s="14" t="n">
        <v>50</v>
      </c>
      <c r="E11" s="9"/>
      <c r="F11" s="10" t="n">
        <v>103</v>
      </c>
      <c r="G11" s="10"/>
      <c r="H11" s="10" t="n">
        <f aca="false">(F11*D11)</f>
        <v>5150</v>
      </c>
      <c r="I11" s="10"/>
      <c r="J11" s="11"/>
      <c r="K11" s="11"/>
    </row>
    <row r="12" customFormat="false" ht="19.7" hidden="false" customHeight="false" outlineLevel="0" collapsed="false">
      <c r="B12" s="12" t="n">
        <v>3</v>
      </c>
      <c r="C12" s="13" t="s">
        <v>15</v>
      </c>
      <c r="D12" s="14" t="n">
        <v>50</v>
      </c>
      <c r="E12" s="9"/>
      <c r="F12" s="10" t="n">
        <v>104</v>
      </c>
      <c r="G12" s="10"/>
      <c r="H12" s="10" t="n">
        <f aca="false">(F12*D12)</f>
        <v>5200</v>
      </c>
      <c r="I12" s="10"/>
      <c r="J12" s="11"/>
      <c r="K12" s="11"/>
    </row>
    <row r="13" customFormat="false" ht="19.7" hidden="false" customHeight="false" outlineLevel="0" collapsed="false">
      <c r="B13" s="15" t="n">
        <v>4</v>
      </c>
      <c r="C13" s="13" t="s">
        <v>16</v>
      </c>
      <c r="D13" s="14" t="n">
        <v>50</v>
      </c>
      <c r="E13" s="9"/>
      <c r="F13" s="10" t="n">
        <v>105</v>
      </c>
      <c r="G13" s="10"/>
      <c r="H13" s="10" t="n">
        <f aca="false">(F13*D13)</f>
        <v>5250</v>
      </c>
      <c r="I13" s="10"/>
      <c r="J13" s="11"/>
      <c r="K13" s="11"/>
    </row>
    <row r="14" customFormat="false" ht="19.7" hidden="false" customHeight="false" outlineLevel="0" collapsed="false">
      <c r="B14" s="12" t="n">
        <v>5</v>
      </c>
      <c r="C14" s="13" t="s">
        <v>17</v>
      </c>
      <c r="D14" s="14" t="n">
        <v>50</v>
      </c>
      <c r="E14" s="9"/>
      <c r="F14" s="10" t="n">
        <v>106</v>
      </c>
      <c r="G14" s="10"/>
      <c r="H14" s="10" t="n">
        <f aca="false">(F14*D14)</f>
        <v>5300</v>
      </c>
      <c r="I14" s="10"/>
      <c r="J14" s="11"/>
      <c r="K14" s="11"/>
    </row>
    <row r="15" customFormat="false" ht="19.7" hidden="false" customHeight="false" outlineLevel="0" collapsed="false">
      <c r="B15" s="15" t="n">
        <v>6</v>
      </c>
      <c r="C15" s="13" t="s">
        <v>18</v>
      </c>
      <c r="D15" s="14" t="n">
        <v>50</v>
      </c>
      <c r="E15" s="9"/>
      <c r="F15" s="10" t="n">
        <v>107</v>
      </c>
      <c r="G15" s="10"/>
      <c r="H15" s="10" t="n">
        <f aca="false">(F15*D15)</f>
        <v>5350</v>
      </c>
      <c r="I15" s="10"/>
      <c r="J15" s="11"/>
      <c r="K15" s="11"/>
    </row>
    <row r="16" customFormat="false" ht="19.7" hidden="false" customHeight="false" outlineLevel="0" collapsed="false">
      <c r="B16" s="12" t="n">
        <v>7</v>
      </c>
      <c r="C16" s="13" t="s">
        <v>19</v>
      </c>
      <c r="D16" s="14" t="n">
        <v>50</v>
      </c>
      <c r="E16" s="9"/>
      <c r="F16" s="10" t="n">
        <v>108</v>
      </c>
      <c r="G16" s="10"/>
      <c r="H16" s="10" t="n">
        <f aca="false">(F16*D16)</f>
        <v>5400</v>
      </c>
      <c r="I16" s="10"/>
      <c r="J16" s="11"/>
      <c r="K16" s="11"/>
    </row>
    <row r="17" customFormat="false" ht="19.7" hidden="false" customHeight="false" outlineLevel="0" collapsed="false">
      <c r="B17" s="15" t="n">
        <v>8</v>
      </c>
      <c r="C17" s="13" t="s">
        <v>20</v>
      </c>
      <c r="D17" s="14" t="n">
        <v>50</v>
      </c>
      <c r="E17" s="9"/>
      <c r="F17" s="10" t="n">
        <v>109</v>
      </c>
      <c r="G17" s="10"/>
      <c r="H17" s="10" t="n">
        <f aca="false">(F17*D17)</f>
        <v>5450</v>
      </c>
      <c r="I17" s="10"/>
      <c r="J17" s="11"/>
      <c r="K17" s="11"/>
    </row>
    <row r="18" customFormat="false" ht="19.7" hidden="false" customHeight="false" outlineLevel="0" collapsed="false">
      <c r="B18" s="12" t="n">
        <v>9</v>
      </c>
      <c r="C18" s="13" t="s">
        <v>21</v>
      </c>
      <c r="D18" s="14" t="n">
        <v>50</v>
      </c>
      <c r="E18" s="9"/>
      <c r="F18" s="10" t="n">
        <v>110</v>
      </c>
      <c r="G18" s="10"/>
      <c r="H18" s="10" t="n">
        <f aca="false">(F18*D18)</f>
        <v>5500</v>
      </c>
      <c r="I18" s="10"/>
      <c r="J18" s="11"/>
      <c r="K18" s="11"/>
    </row>
    <row r="19" customFormat="false" ht="19.7" hidden="false" customHeight="false" outlineLevel="0" collapsed="false">
      <c r="B19" s="15" t="n">
        <v>10</v>
      </c>
      <c r="C19" s="13" t="s">
        <v>22</v>
      </c>
      <c r="D19" s="14" t="n">
        <v>50</v>
      </c>
      <c r="E19" s="9"/>
      <c r="F19" s="10" t="n">
        <v>111</v>
      </c>
      <c r="G19" s="10"/>
      <c r="H19" s="10" t="n">
        <f aca="false">(F19*D19)</f>
        <v>5550</v>
      </c>
      <c r="I19" s="10"/>
      <c r="J19" s="11"/>
      <c r="K19" s="11"/>
    </row>
    <row r="20" customFormat="false" ht="19.7" hidden="false" customHeight="false" outlineLevel="0" collapsed="false">
      <c r="B20" s="12" t="n">
        <v>11</v>
      </c>
      <c r="C20" s="13" t="s">
        <v>23</v>
      </c>
      <c r="D20" s="14" t="n">
        <v>50</v>
      </c>
      <c r="E20" s="9"/>
      <c r="F20" s="10" t="n">
        <v>112</v>
      </c>
      <c r="G20" s="10"/>
      <c r="H20" s="10" t="n">
        <f aca="false">(F20*D20)</f>
        <v>5600</v>
      </c>
      <c r="I20" s="10"/>
      <c r="J20" s="11"/>
      <c r="K20" s="11"/>
    </row>
    <row r="21" customFormat="false" ht="19.7" hidden="false" customHeight="false" outlineLevel="0" collapsed="false">
      <c r="B21" s="8" t="s">
        <v>24</v>
      </c>
      <c r="C21" s="7" t="s">
        <v>25</v>
      </c>
      <c r="D21" s="14"/>
      <c r="E21" s="9"/>
      <c r="F21" s="10"/>
      <c r="G21" s="10"/>
      <c r="H21" s="10"/>
      <c r="I21" s="10"/>
      <c r="J21" s="11"/>
      <c r="K21" s="11"/>
    </row>
    <row r="22" customFormat="false" ht="19.7" hidden="false" customHeight="false" outlineLevel="0" collapsed="false">
      <c r="B22" s="12" t="n">
        <v>12</v>
      </c>
      <c r="C22" s="13" t="s">
        <v>26</v>
      </c>
      <c r="D22" s="14" t="n">
        <v>50</v>
      </c>
      <c r="E22" s="9"/>
      <c r="F22" s="10" t="n">
        <v>114</v>
      </c>
      <c r="G22" s="10"/>
      <c r="H22" s="10" t="n">
        <f aca="false">(F22*D22)</f>
        <v>5700</v>
      </c>
      <c r="I22" s="10"/>
      <c r="J22" s="11"/>
      <c r="K22" s="11"/>
    </row>
    <row r="23" customFormat="false" ht="19.7" hidden="false" customHeight="false" outlineLevel="0" collapsed="false">
      <c r="B23" s="15" t="n">
        <v>13</v>
      </c>
      <c r="C23" s="13" t="s">
        <v>27</v>
      </c>
      <c r="D23" s="14" t="n">
        <v>50</v>
      </c>
      <c r="E23" s="9"/>
      <c r="F23" s="10" t="n">
        <v>115</v>
      </c>
      <c r="G23" s="10"/>
      <c r="H23" s="10" t="n">
        <f aca="false">(F23*D23)</f>
        <v>5750</v>
      </c>
      <c r="I23" s="10"/>
      <c r="J23" s="11"/>
      <c r="K23" s="11"/>
    </row>
    <row r="24" customFormat="false" ht="19.7" hidden="false" customHeight="false" outlineLevel="0" collapsed="false">
      <c r="B24" s="12" t="n">
        <v>14</v>
      </c>
      <c r="C24" s="13" t="s">
        <v>28</v>
      </c>
      <c r="D24" s="14" t="n">
        <v>50</v>
      </c>
      <c r="E24" s="9"/>
      <c r="F24" s="10" t="n">
        <v>116</v>
      </c>
      <c r="G24" s="10"/>
      <c r="H24" s="10" t="n">
        <f aca="false">(F24*D24)</f>
        <v>5800</v>
      </c>
      <c r="I24" s="10"/>
      <c r="J24" s="11"/>
      <c r="K24" s="11"/>
    </row>
    <row r="25" customFormat="false" ht="19.7" hidden="false" customHeight="false" outlineLevel="0" collapsed="false">
      <c r="B25" s="15" t="n">
        <v>15</v>
      </c>
      <c r="C25" s="13" t="s">
        <v>29</v>
      </c>
      <c r="D25" s="14" t="n">
        <v>50</v>
      </c>
      <c r="E25" s="9"/>
      <c r="F25" s="10" t="n">
        <v>117</v>
      </c>
      <c r="G25" s="10"/>
      <c r="H25" s="10" t="n">
        <f aca="false">(F25*D25)</f>
        <v>5850</v>
      </c>
      <c r="I25" s="10"/>
      <c r="J25" s="11"/>
      <c r="K25" s="11"/>
    </row>
    <row r="26" customFormat="false" ht="19.7" hidden="false" customHeight="false" outlineLevel="0" collapsed="false">
      <c r="B26" s="12" t="n">
        <v>16</v>
      </c>
      <c r="C26" s="13" t="s">
        <v>30</v>
      </c>
      <c r="D26" s="14" t="n">
        <v>50</v>
      </c>
      <c r="E26" s="9"/>
      <c r="F26" s="10" t="n">
        <v>118</v>
      </c>
      <c r="G26" s="10"/>
      <c r="H26" s="10" t="n">
        <f aca="false">(F26*D26)</f>
        <v>5900</v>
      </c>
      <c r="I26" s="10"/>
      <c r="J26" s="11"/>
      <c r="K26" s="11"/>
    </row>
    <row r="27" customFormat="false" ht="19.7" hidden="false" customHeight="false" outlineLevel="0" collapsed="false">
      <c r="C27" s="16"/>
      <c r="D27" s="17"/>
      <c r="E27" s="9"/>
      <c r="F27" s="10"/>
      <c r="G27" s="10"/>
      <c r="H27" s="10"/>
      <c r="I27" s="10"/>
      <c r="J27" s="11"/>
      <c r="K27" s="11"/>
    </row>
    <row r="28" customFormat="false" ht="12.8" hidden="false" customHeight="true" outlineLevel="0" collapsed="false">
      <c r="B28" s="18" t="s">
        <v>31</v>
      </c>
      <c r="C28" s="18"/>
      <c r="D28" s="18"/>
      <c r="E28" s="18"/>
      <c r="F28" s="18"/>
      <c r="G28" s="18"/>
      <c r="H28" s="19" t="n">
        <f aca="false">SUM(H8:H26)</f>
        <v>90850</v>
      </c>
      <c r="I28" s="19"/>
      <c r="J28" s="20" t="s">
        <v>10</v>
      </c>
      <c r="K28" s="20"/>
    </row>
    <row r="29" customFormat="false" ht="12.8" hidden="false" customHeight="false" outlineLevel="0" collapsed="false">
      <c r="B29" s="18"/>
      <c r="C29" s="18"/>
      <c r="D29" s="18"/>
      <c r="E29" s="18"/>
      <c r="F29" s="18"/>
      <c r="G29" s="18"/>
      <c r="H29" s="19"/>
      <c r="I29" s="19"/>
      <c r="J29" s="20"/>
      <c r="K29" s="20"/>
    </row>
    <row r="30" customFormat="false" ht="12.8" hidden="false" customHeight="false" outlineLevel="0" collapsed="false">
      <c r="B30" s="18" t="s">
        <v>32</v>
      </c>
      <c r="C30" s="18"/>
      <c r="D30" s="18"/>
      <c r="E30" s="18"/>
      <c r="F30" s="18"/>
      <c r="G30" s="18"/>
      <c r="H30" s="19" t="n">
        <f aca="false">H28*0.01</f>
        <v>908.5</v>
      </c>
      <c r="I30" s="19"/>
      <c r="J30" s="19"/>
      <c r="K30" s="19"/>
    </row>
    <row r="31" customFormat="false" ht="12.8" hidden="false" customHeight="false" outlineLevel="0" collapsed="false">
      <c r="B31" s="18"/>
      <c r="C31" s="18"/>
      <c r="D31" s="18"/>
      <c r="E31" s="18"/>
      <c r="F31" s="18"/>
      <c r="G31" s="18"/>
      <c r="H31" s="19"/>
      <c r="I31" s="19"/>
      <c r="J31" s="19"/>
      <c r="K31" s="19"/>
    </row>
    <row r="32" customFormat="false" ht="12.8" hidden="false" customHeight="false" outlineLevel="0" collapsed="false">
      <c r="B32" s="18" t="s">
        <v>33</v>
      </c>
      <c r="C32" s="18"/>
      <c r="D32" s="18"/>
      <c r="E32" s="18"/>
      <c r="F32" s="18"/>
      <c r="G32" s="18"/>
      <c r="H32" s="19" t="n">
        <f aca="false">H30*3*0.25</f>
        <v>681.375</v>
      </c>
      <c r="I32" s="19"/>
      <c r="J32" s="19"/>
      <c r="K32" s="19"/>
    </row>
    <row r="33" customFormat="false" ht="12.8" hidden="false" customHeight="false" outlineLevel="0" collapsed="false">
      <c r="B33" s="18"/>
      <c r="C33" s="18"/>
      <c r="D33" s="18"/>
      <c r="E33" s="18"/>
      <c r="F33" s="18"/>
      <c r="G33" s="18"/>
      <c r="H33" s="19"/>
      <c r="I33" s="19"/>
      <c r="J33" s="19"/>
      <c r="K33" s="19"/>
    </row>
    <row r="34" customFormat="false" ht="12.8" hidden="false" customHeight="false" outlineLevel="0" collapsed="false">
      <c r="B34" s="21" t="s">
        <v>34</v>
      </c>
      <c r="C34" s="21"/>
      <c r="D34" s="21"/>
      <c r="E34" s="21"/>
      <c r="F34" s="21"/>
      <c r="G34" s="21"/>
      <c r="H34" s="22" t="n">
        <f aca="false">SUM(H28,H30,H32)</f>
        <v>92439.875</v>
      </c>
      <c r="I34" s="22"/>
      <c r="J34" s="22"/>
      <c r="K34" s="22"/>
    </row>
    <row r="35" customFormat="false" ht="12.8" hidden="false" customHeight="false" outlineLevel="0" collapsed="false">
      <c r="B35" s="21"/>
      <c r="C35" s="21"/>
      <c r="D35" s="21"/>
      <c r="E35" s="21"/>
      <c r="F35" s="21"/>
      <c r="G35" s="21"/>
      <c r="H35" s="22"/>
      <c r="I35" s="22"/>
      <c r="J35" s="22"/>
      <c r="K35" s="22"/>
    </row>
    <row r="38" customFormat="false" ht="12.8" hidden="false" customHeight="false" outlineLevel="0" collapsed="false">
      <c r="B38" s="23" t="s">
        <v>35</v>
      </c>
      <c r="C38" s="23"/>
      <c r="D38" s="23"/>
      <c r="E38" s="23"/>
      <c r="F38" s="23"/>
      <c r="G38" s="23"/>
    </row>
    <row r="39" customFormat="false" ht="12.8" hidden="false" customHeight="false" outlineLevel="0" collapsed="false">
      <c r="B39" s="23"/>
      <c r="C39" s="23"/>
      <c r="D39" s="23"/>
      <c r="E39" s="23"/>
      <c r="F39" s="23"/>
      <c r="G39" s="23"/>
    </row>
    <row r="40" customFormat="false" ht="19.7" hidden="false" customHeight="false" outlineLevel="0" collapsed="false">
      <c r="B40" s="24" t="n">
        <v>1</v>
      </c>
      <c r="C40" s="25" t="s">
        <v>36</v>
      </c>
      <c r="D40" s="25"/>
      <c r="E40" s="25"/>
      <c r="F40" s="25"/>
      <c r="G40" s="25"/>
    </row>
    <row r="41" customFormat="false" ht="19.7" hidden="false" customHeight="false" outlineLevel="0" collapsed="false">
      <c r="B41" s="24" t="n">
        <v>2</v>
      </c>
      <c r="C41" s="25" t="s">
        <v>37</v>
      </c>
      <c r="D41" s="25"/>
      <c r="E41" s="25"/>
      <c r="F41" s="25"/>
      <c r="G41" s="25"/>
    </row>
    <row r="42" customFormat="false" ht="91" hidden="false" customHeight="true" outlineLevel="0" collapsed="false">
      <c r="B42" s="24" t="n">
        <v>3</v>
      </c>
      <c r="C42" s="26" t="s">
        <v>38</v>
      </c>
      <c r="D42" s="26"/>
      <c r="E42" s="26"/>
      <c r="F42" s="26"/>
      <c r="G42" s="26"/>
    </row>
    <row r="43" customFormat="false" ht="108.95" hidden="false" customHeight="true" outlineLevel="0" collapsed="false">
      <c r="B43" s="24" t="n">
        <v>4</v>
      </c>
      <c r="C43" s="26" t="s">
        <v>39</v>
      </c>
      <c r="D43" s="26"/>
      <c r="E43" s="26"/>
      <c r="F43" s="26"/>
      <c r="G43" s="26"/>
    </row>
    <row r="44" customFormat="false" ht="37.3" hidden="false" customHeight="true" outlineLevel="0" collapsed="false">
      <c r="B44" s="24" t="n">
        <v>5</v>
      </c>
      <c r="C44" s="26" t="s">
        <v>40</v>
      </c>
      <c r="D44" s="26"/>
      <c r="E44" s="26"/>
      <c r="F44" s="26"/>
      <c r="G44" s="26"/>
    </row>
    <row r="45" customFormat="false" ht="19.7" hidden="false" customHeight="false" outlineLevel="0" collapsed="false">
      <c r="B45" s="27"/>
      <c r="C45" s="28"/>
      <c r="D45" s="28"/>
      <c r="E45" s="28"/>
      <c r="F45" s="28"/>
      <c r="G45" s="28"/>
    </row>
    <row r="46" customFormat="false" ht="19.7" hidden="false" customHeight="false" outlineLevel="0" collapsed="false">
      <c r="B46" s="27"/>
      <c r="C46" s="29"/>
      <c r="D46" s="29"/>
      <c r="E46" s="29"/>
      <c r="F46" s="29"/>
      <c r="G46" s="29"/>
    </row>
    <row r="47" customFormat="false" ht="19.7" hidden="false" customHeight="false" outlineLevel="0" collapsed="false">
      <c r="B47" s="30" t="s">
        <v>41</v>
      </c>
      <c r="C47" s="30"/>
      <c r="D47" s="30"/>
      <c r="E47" s="30"/>
      <c r="F47" s="30"/>
      <c r="G47" s="30"/>
    </row>
    <row r="48" customFormat="false" ht="247.75" hidden="false" customHeight="true" outlineLevel="0" collapsed="false">
      <c r="B48" s="31"/>
      <c r="C48" s="32" t="s">
        <v>42</v>
      </c>
      <c r="D48" s="32"/>
      <c r="E48" s="32"/>
      <c r="F48" s="32"/>
      <c r="G48" s="32"/>
    </row>
  </sheetData>
  <mergeCells count="67">
    <mergeCell ref="B2:K4"/>
    <mergeCell ref="B5:B7"/>
    <mergeCell ref="C5:C7"/>
    <mergeCell ref="D5:D7"/>
    <mergeCell ref="E5:E7"/>
    <mergeCell ref="F5:G7"/>
    <mergeCell ref="H5:I7"/>
    <mergeCell ref="J5:K7"/>
    <mergeCell ref="E8:E27"/>
    <mergeCell ref="F8:G8"/>
    <mergeCell ref="H8:I8"/>
    <mergeCell ref="J8:K27"/>
    <mergeCell ref="F9:G9"/>
    <mergeCell ref="H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H14:I14"/>
    <mergeCell ref="F15:G15"/>
    <mergeCell ref="H15:I15"/>
    <mergeCell ref="F16:G16"/>
    <mergeCell ref="H16:I16"/>
    <mergeCell ref="F17:G17"/>
    <mergeCell ref="H17:I17"/>
    <mergeCell ref="F18:G18"/>
    <mergeCell ref="H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B28:G29"/>
    <mergeCell ref="H28:I29"/>
    <mergeCell ref="J28:K29"/>
    <mergeCell ref="B30:G31"/>
    <mergeCell ref="H30:K31"/>
    <mergeCell ref="B32:G33"/>
    <mergeCell ref="H32:K33"/>
    <mergeCell ref="B34:G35"/>
    <mergeCell ref="H34:K35"/>
    <mergeCell ref="B38:G39"/>
    <mergeCell ref="C40:G40"/>
    <mergeCell ref="C41:G41"/>
    <mergeCell ref="C42:G42"/>
    <mergeCell ref="C43:G43"/>
    <mergeCell ref="C44:G44"/>
    <mergeCell ref="B47:G47"/>
    <mergeCell ref="C48:G4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2026-09-21T14:47:26Z</dcterms:created>
  <dc:creator/>
  <dc:description/>
  <dc:language>en-IN</dc:language>
  <cp:lastModifiedBy/>
  <dcterms:modified xsi:type="dcterms:W3CDTF">2026-09-28T10:57:15Z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